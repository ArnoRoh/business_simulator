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Inputs" sheetId="2" r:id="rId2"/>
    <sheet name="Calculation" sheetId="3" r:id="rId3"/>
    <sheet name="Results" sheetId="4" r:id="rId4"/>
    <sheet name="Ladder" sheetId="5" r:id="rId5"/>
    <sheet name="Sensitivity" sheetId="6" r:id="rId6"/>
  </sheets>
  <calcPr calcId="0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&quot;$&quot;#,##0.00"/>
    <numFmt numFmtId="166" formatCode="0.0%"/>
    <numFmt numFmtId="167" formatCode="0.00&quot;×&quot;"/>
  </numFmts>
  <fonts count="6">
    <font>
      <sz val="11"/>
      <name val="Calibri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sz val="10"/>
      <color rgb="FF767676"/>
      <name val="Calibri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FF3D6"/>
        <bgColor indexed="64"/>
      </patternFill>
    </fill>
    <fill>
      <patternFill patternType="solid">
        <fgColor rgb="FFEDF3FC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/>
    <xf numFmtId="0" fontId="2" fillId="2" borderId="0" xfId="0" applyFill="1" applyFont="1"/>
    <xf numFmtId="0" fontId="5" fillId="0" borderId="1" xfId="0" applyBorder="1" applyFont="1"/>
    <xf numFmtId="0" fontId="0" fillId="3" borderId="0" xfId="0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  <xf numFmtId="2" fontId="0" fillId="0" borderId="0" xfId="0" applyNumberFormat="1"/>
    <xf numFmtId="167" fontId="0" fillId="0" borderId="0" xfId="0" applyNumberFormat="1"/>
    <xf numFmtId="0" fontId="4" fillId="0" borderId="0" xfId="0" applyFont="1"/>
    <xf numFmtId="0" fontId="3" fillId="4" borderId="0" xfId="0" applyFill="1" applyFont="1"/>
    <xf numFmtId="0" fontId="0" fillId="0" borderId="0" xfId="0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04" customWidth="1"/>
  </cols>
  <sheetData>
    <row r="1">
      <c r="A1" s="1" t="inlineStr">
        <is>
          <t xml:space="preserve">Business Simulator — cost-effectiveness model</t>
        </is>
      </c>
    </row>
    <row r="3">
      <c r="A3" s="13" t="inlineStr">
        <is>
          <t xml:space="preserve">A staged selection pipeline that uses a free, offline business simulator as a first-stage filter, a forecast-style business plan as the second, and a six-month review of forecast against actual as the third.</t>
        </is>
      </c>
    </row>
    <row r="4">
      <c r="A4" s="13"/>
    </row>
    <row r="5">
      <c r="A5" s="13" t="inlineStr">
        <is>
          <t xml:space="preserve">READ THIS FIRST. No part of this pipeline has been run. The simulator exists and is playable; the portal, the backend and the AI marking do not. Every behavioural rate here — how many finish, how many apply, how many firms transform — is a guess with no data behind it. The model is here to show what the answer depends on, not to claim a result.</t>
        </is>
      </c>
    </row>
    <row r="6">
      <c r="A6" s="13"/>
    </row>
    <row r="7">
      <c r="A7" s="13" t="inlineStr">
        <is>
          <t xml:space="preserve">HOW TO USE IT. Shaded cells on the Inputs sheet are the only things to change. Everything on Calculation and Results is a live formula; edit an input and the whole model moves. Nothing is hardcoded except the inputs themselves.</t>
        </is>
      </c>
    </row>
    <row r="8">
      <c r="A8" s="13"/>
    </row>
    <row r="9">
      <c r="A9" s="13" t="inlineStr">
        <is>
          <t xml:space="preserve">SOURCE TAGS, on every input:</t>
        </is>
      </c>
    </row>
    <row r="10">
      <c r="A10" s="13" t="inlineStr">
        <is>
          <t xml:space="preserve">    owner       — stated by the project owner and recorded in the decision log.</t>
        </is>
      </c>
    </row>
    <row r="11">
      <c r="A11" s="13" t="inlineStr">
        <is>
          <t xml:space="preserve">    sourced     — taken from a named external source, cited in the note column.</t>
        </is>
      </c>
    </row>
    <row r="12">
      <c r="A12" s="13" t="inlineStr">
        <is>
          <t xml:space="preserve">    assumption  — chosen to make the model run. No evidence behind it.</t>
        </is>
      </c>
    </row>
    <row r="13">
      <c r="A13" s="13" t="inlineStr">
        <is>
          <t xml:space="preserve">    unverified  — recalled from the literature and NOT checked against a source.</t>
        </is>
      </c>
    </row>
    <row r="14">
      <c r="A14" s="13" t="inlineStr">
        <is>
          <t xml:space="preserve">                  Do not repeat these as fact.</t>
        </is>
      </c>
    </row>
    <row r="15">
      <c r="A15" s="13"/>
    </row>
    <row r="16">
      <c r="A16" s="13" t="inlineStr">
        <is>
          <t xml:space="preserve">BENCHMARK. Following GiveWell, cost-effectiveness is expressed as a multiple of unconditional cash transfers to people in poverty. GiveWell's stated funding bar is 6× that benchmark. Both are on the Results sheet.</t>
        </is>
      </c>
    </row>
    <row r="17">
      <c r="A17" s="13"/>
    </row>
    <row r="18">
      <c r="A18" s="13" t="inlineStr">
        <is>
          <t xml:space="preserve">GiveWell's own caveat applies with more force here than it does to them: these estimates are extremely rough and should not be taken literally. They are for comparing options, not for predicting outcomes.</t>
        </is>
      </c>
    </row>
    <row r="19">
      <c r="A19" s="13"/>
    </row>
    <row r="20">
      <c r="A20" s="13" t="inlineStr">
        <is>
          <t xml:space="preserve">Generated by scripts/build-model-xlsx.py. Do not edit this workbook by hand — regenerate it. The same arithmetic generates docs/concept-note.html.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56" customWidth="1"/>
    <col min="2" max="2" width="14" customWidth="1"/>
    <col min="3" max="3" width="13" customWidth="1"/>
    <col min="4" max="4" width="62" customWidth="1"/>
  </cols>
  <sheetData>
    <row r="1">
      <c r="A1" s="1" t="inlineStr">
        <is>
          <t xml:space="preserve">Inputs — shaded cells are the ones to change</t>
        </is>
      </c>
    </row>
    <row r="2">
      <c r="A2" s="2" t="inlineStr">
        <is>
          <t xml:space="preserve">Parameter</t>
        </is>
      </c>
      <c r="B2" s="2" t="inlineStr">
        <is>
          <t xml:space="preserve">Value</t>
        </is>
      </c>
      <c r="C2" s="2" t="inlineStr">
        <is>
          <t xml:space="preserve">Source</t>
        </is>
      </c>
      <c r="D2" s="2" t="inlineStr">
        <is>
          <t xml:space="preserve">Note</t>
        </is>
      </c>
    </row>
    <row r="3">
      <c r="A3" s="0" t="inlineStr">
        <is>
          <t xml:space="preserve">Stage-0 starts in the pilot</t>
        </is>
      </c>
      <c r="B3" s="4">
        <v>3000</v>
      </c>
      <c r="C3" s="0" t="inlineStr">
        <is>
          <t xml:space="preserve">assumption</t>
        </is>
      </c>
      <c r="D3" s="11" t="inlineStr">
        <is>
          <t xml:space="preserve">Nobody has chosen a recruitment channel yet (Q-039).</t>
        </is>
      </c>
    </row>
    <row r="4">
      <c r="A4" s="0" t="inlineStr">
        <is>
          <t xml:space="preserve">Share of starts that finish chapter 1</t>
        </is>
      </c>
      <c r="B4" s="4">
        <v>0.35</v>
      </c>
      <c r="C4" s="0" t="inlineStr">
        <is>
          <t xml:space="preserve">assumption</t>
        </is>
      </c>
      <c r="D4" s="11" t="inlineStr">
        <is>
          <t xml:space="preserve">Untested. No completion data exists for any build.</t>
        </is>
      </c>
    </row>
    <row r="5">
      <c r="A5" s="0" t="inlineStr">
        <is>
          <t xml:space="preserve">Share of finishers who submit a forecast</t>
        </is>
      </c>
      <c r="B5" s="4">
        <v>0.2</v>
      </c>
      <c r="C5" s="0" t="inlineStr">
        <is>
          <t xml:space="preserve">assumption</t>
        </is>
      </c>
      <c r="D5" s="11" t="inlineStr">
        <is>
          <t xml:space="preserve">The portal does not exist yet (Q-035).</t>
        </is>
      </c>
    </row>
    <row r="6">
      <c r="A6" s="0" t="inlineStr">
        <is>
          <t xml:space="preserve">Grants awarded at stage 1</t>
        </is>
      </c>
      <c r="B6" s="4">
        <v>50</v>
      </c>
      <c r="C6" s="0" t="inlineStr">
        <is>
          <t xml:space="preserve">owner</t>
        </is>
      </c>
      <c r="D6" s="11" t="inlineStr">
        <is>
          <t xml:space="preserve">USD 50,000 ÷ 1,000 (D-035).</t>
        </is>
      </c>
    </row>
    <row r="7">
      <c r="A7" s="0" t="inlineStr">
        <is>
          <t xml:space="preserve">Stage-1 grant, USD</t>
        </is>
      </c>
      <c r="B7" s="4">
        <v>1000</v>
      </c>
      <c r="C7" s="0" t="inlineStr">
        <is>
          <t xml:space="preserve">owner</t>
        </is>
      </c>
      <c r="D7" s="11" t="inlineStr">
        <is>
          <t xml:space="preserve">D-034.</t>
        </is>
      </c>
    </row>
    <row r="8">
      <c r="A8" s="0" t="inlineStr">
        <is>
          <t xml:space="preserve">Recruitment cost per stage-0 start, USD</t>
        </is>
      </c>
      <c r="B8" s="4">
        <v>2.0</v>
      </c>
      <c r="C8" s="0" t="inlineStr">
        <is>
          <t xml:space="preserve">assumption</t>
        </is>
      </c>
      <c r="D8" s="11" t="inlineStr">
        <is>
          <t xml:space="preserve">Blended word-of-mouth and paid; wholly channel-dependent.</t>
        </is>
      </c>
    </row>
    <row r="9">
      <c r="A9" s="0" t="inlineStr">
        <is>
          <t xml:space="preserve">One-off build: portal, backend, AI judge, USD</t>
        </is>
      </c>
      <c r="B9" s="4">
        <v>100</v>
      </c>
      <c r="C9" s="0" t="inlineStr">
        <is>
          <t xml:space="preserve">owner</t>
        </is>
      </c>
      <c r="D9" s="11" t="inlineStr">
        <is>
          <t xml:space="preserve">Built with an AI coding agent, not a dev team. Owner's figure.</t>
        </is>
      </c>
    </row>
    <row r="10">
      <c r="A10" s="0" t="inlineStr">
        <is>
          <t xml:space="preserve">AI marking cost per submission, USD</t>
        </is>
      </c>
      <c r="B10" s="4">
        <v>0.01</v>
      </c>
      <c r="C10" s="0" t="inlineStr">
        <is>
          <t xml:space="preserve">owner</t>
        </is>
      </c>
      <c r="D10" s="11" t="inlineStr">
        <is>
          <t xml:space="preserve">Owner's figure. Model inference, including follow-up probes.</t>
        </is>
      </c>
    </row>
    <row r="11">
      <c r="A11" s="0" t="inlineStr">
        <is>
          <t xml:space="preserve">Six-month review per funded firm, USD</t>
        </is>
      </c>
      <c r="B11" s="4">
        <v>150</v>
      </c>
      <c r="C11" s="0" t="inlineStr">
        <is>
          <t xml:space="preserve">assumption</t>
        </is>
      </c>
      <c r="D11" s="11" t="inlineStr">
        <is>
          <t xml:space="preserve">Mostly asynchronous: photos, portal, one call.</t>
        </is>
      </c>
    </row>
    <row r="12">
      <c r="A12" s="0" t="inlineStr">
        <is>
          <t xml:space="preserve">Hosting and data for one cohort, USD</t>
        </is>
      </c>
      <c r="B12" s="4">
        <v>200</v>
      </c>
      <c r="C12" s="0" t="inlineStr">
        <is>
          <t xml:space="preserve">assumption</t>
        </is>
      </c>
      <c r="D12" s="11" t="inlineStr">
        <is>
          <t xml:space="preserve">Stage 0 is a static PWA; this is close to a floor.</t>
        </is>
      </c>
    </row>
    <row r="13">
      <c r="A13" s="0" t="inlineStr">
        <is>
          <t xml:space="preserve">Programme administration overhead</t>
        </is>
      </c>
      <c r="B13" s="4">
        <v>0.15</v>
      </c>
      <c r="C13" s="0" t="inlineStr">
        <is>
          <t xml:space="preserve">assumption</t>
        </is>
      </c>
      <c r="D13" s="11"/>
    </row>
    <row r="14">
      <c r="A14" s="0" t="inlineStr">
        <is>
          <t xml:space="preserve">Share of funded firms that become transformational</t>
        </is>
      </c>
      <c r="B14" s="4">
        <v>0.06</v>
      </c>
      <c r="C14" s="0" t="inlineStr">
        <is>
          <t xml:space="preserve">assumption</t>
        </is>
      </c>
      <c r="D14" s="11" t="inlineStr">
        <is>
          <t xml:space="preserve">THE critical unknown. The pilot exists to measure it (Q-034).</t>
        </is>
      </c>
    </row>
    <row r="15">
      <c r="A15" s="0" t="inlineStr">
        <is>
          <t xml:space="preserve">Jobs at the point of the grant</t>
        </is>
      </c>
      <c r="B15" s="4">
        <v>5</v>
      </c>
      <c r="C15" s="0" t="inlineStr">
        <is>
          <t xml:space="preserve">assumption</t>
        </is>
      </c>
      <c r="D15" s="11" t="inlineStr">
        <is>
          <t xml:space="preserve">Where the firm starts, not where it ends.</t>
        </is>
      </c>
    </row>
    <row r="16">
      <c r="A16" s="0" t="inlineStr">
        <is>
          <t xml:space="preserve">Annual growth in jobs</t>
        </is>
      </c>
      <c r="B16" s="4">
        <v>0.12</v>
      </c>
      <c r="C16" s="0" t="inlineStr">
        <is>
          <t xml:space="preserve">assumption</t>
        </is>
      </c>
      <c r="D16" s="11" t="inlineStr">
        <is>
          <t xml:space="preserve">Building an organisation larger than the founder is the definition of transformational (AGENTS.md §2).</t>
        </is>
      </c>
    </row>
    <row r="17">
      <c r="A17" s="0" t="inlineStr">
        <is>
          <t xml:space="preserve">Annual survival probability, transformational firm</t>
        </is>
      </c>
      <c r="B17" s="4">
        <v>0.92</v>
      </c>
      <c r="C17" s="0" t="inlineStr">
        <is>
          <t xml:space="preserve">assumption</t>
        </is>
      </c>
      <c r="D17" s="11" t="inlineStr">
        <is>
          <t xml:space="preserve">Replaces a hard cut-off year. A firm still trading keeps producing.</t>
        </is>
      </c>
    </row>
    <row r="18">
      <c r="A18" s="0" t="inlineStr">
        <is>
          <t xml:space="preserve">Horizon, transformational firm</t>
        </is>
      </c>
      <c r="B18" s="4">
        <v>15</v>
      </c>
      <c r="C18" s="0" t="inlineStr">
        <is>
          <t xml:space="preserve">assumption</t>
        </is>
      </c>
      <c r="D18" s="11" t="inlineStr">
        <is>
          <t xml:space="preserve">Survival does the decaying; the horizon only bounds the sum.</t>
        </is>
      </c>
    </row>
    <row r="19">
      <c r="A19" s="0" t="inlineStr">
        <is>
          <t xml:space="preserve">Annual income gain per job, USD</t>
        </is>
      </c>
      <c r="B19" s="4">
        <v>600</v>
      </c>
      <c r="C19" s="0" t="inlineStr">
        <is>
          <t xml:space="preserve">assumption</t>
        </is>
      </c>
      <c r="D19" s="11" t="inlineStr">
        <is>
          <t xml:space="preserve">Gain over the counterfactual occupation, not the wage.</t>
        </is>
      </c>
    </row>
    <row r="20">
      <c r="A20" s="0" t="inlineStr">
        <is>
          <t xml:space="preserve">Owner's own net income gain, as a share of the worker income-gain base</t>
        </is>
      </c>
      <c r="B20" s="4">
        <v>0.35</v>
      </c>
      <c r="C20" s="0" t="inlineStr">
        <is>
          <t xml:space="preserve">assumption</t>
        </is>
      </c>
      <c r="D20" s="11" t="inlineStr">
        <is>
          <t xml:space="preserve">Net of tax, so it does not double-count the tax line.</t>
        </is>
      </c>
    </row>
    <row r="21">
      <c r="A21" s="0" t="inlineStr">
        <is>
          <t xml:space="preserve">Tax paid, as a share of the worker income-gain base</t>
        </is>
      </c>
      <c r="B21" s="4">
        <v>0.25</v>
      </c>
      <c r="C21" s="0" t="inlineStr">
        <is>
          <t xml:space="preserve">assumption</t>
        </is>
      </c>
      <c r="D21" s="11" t="inlineStr">
        <is>
          <t xml:space="preserve">Formalisation is what chapters 3–4 teach. Paid out of profit, so no double count with owner income.</t>
        </is>
      </c>
    </row>
    <row r="22">
      <c r="A22" s="0" t="inlineStr">
        <is>
          <t xml:space="preserve">Value of $1 of public revenue vs $1 of private income</t>
        </is>
      </c>
      <c r="B22" s="4">
        <v>1.0</v>
      </c>
      <c r="C22" s="0" t="inlineStr">
        <is>
          <t xml:space="preserve">assumption</t>
        </is>
      </c>
      <c r="D22" s="11" t="inlineStr">
        <is>
          <t xml:space="preserve">1.0 treats tax as neutral. Argue up for public goods, down for leakage. Set to 0 to exclude tax entirely.</t>
        </is>
      </c>
    </row>
    <row r="23">
      <c r="A23" s="0" t="inlineStr">
        <is>
          <t xml:space="preserve">Local supplier income gain, as a share of the worker income-gain base</t>
        </is>
      </c>
      <c r="B23" s="4">
        <v>0.3</v>
      </c>
      <c r="C23" s="0" t="inlineStr">
        <is>
          <t xml:space="preserve">assumption</t>
        </is>
      </c>
      <c r="D23" s="11" t="inlineStr">
        <is>
          <t xml:space="preserve">Backward linkages — the firm buys inputs from local suppliers and develops them.</t>
        </is>
      </c>
    </row>
    <row r="24">
      <c r="A24" s="0" t="inlineStr">
        <is>
          <t xml:space="preserve">Displacement share — transformational firm</t>
        </is>
      </c>
      <c r="B24" s="4">
        <v>0.15</v>
      </c>
      <c r="C24" s="0" t="inlineStr">
        <is>
          <t xml:space="preserve">assumption</t>
        </is>
      </c>
      <c r="D24" s="11" t="inlineStr">
        <is>
          <t xml:space="preserve">Lower than a livelihood firm: new markets and exports displace less than another shop on the same street.</t>
        </is>
      </c>
    </row>
    <row r="25">
      <c r="A25" s="0" t="inlineStr">
        <is>
          <t xml:space="preserve">Share of transformational outcomes that would have happened anyway</t>
        </is>
      </c>
      <c r="B25" s="4">
        <v>0.5</v>
      </c>
      <c r="C25" s="0" t="inlineStr">
        <is>
          <t xml:space="preserve">assumption</t>
        </is>
      </c>
      <c r="D25" s="11" t="inlineStr">
        <is>
          <t xml:space="preserve">These are, by selection, the most capable applicants.</t>
        </is>
      </c>
    </row>
    <row r="26">
      <c r="A26" s="0" t="inlineStr">
        <is>
          <t xml:space="preserve">Annual income gain, non-transformational funded firm, USD</t>
        </is>
      </c>
      <c r="B26" s="4">
        <v>450</v>
      </c>
      <c r="C26" s="0" t="inlineStr">
        <is>
          <t xml:space="preserve">assumption</t>
        </is>
      </c>
      <c r="D26" s="11" t="inlineStr">
        <is>
          <t xml:space="preserve">Capital stays in a working business rather than being consumed.</t>
        </is>
      </c>
    </row>
    <row r="27">
      <c r="A27" s="0" t="inlineStr">
        <is>
          <t xml:space="preserve">Annual survival probability, other funded firm</t>
        </is>
      </c>
      <c r="B27" s="4">
        <v>0.85</v>
      </c>
      <c r="C27" s="0" t="inlineStr">
        <is>
          <t xml:space="preserve">assumption</t>
        </is>
      </c>
      <c r="D27" s="11"/>
    </row>
    <row r="28">
      <c r="A28" s="0" t="inlineStr">
        <is>
          <t xml:space="preserve">Horizon, other funded firm</t>
        </is>
      </c>
      <c r="B28" s="4">
        <v>8</v>
      </c>
      <c r="C28" s="0" t="inlineStr">
        <is>
          <t xml:space="preserve">assumption</t>
        </is>
      </c>
      <c r="D28" s="11"/>
    </row>
    <row r="29">
      <c r="A29" s="0" t="inlineStr">
        <is>
          <t xml:space="preserve">Displacement share — livelihood firm</t>
        </is>
      </c>
      <c r="B29" s="4">
        <v>0.4</v>
      </c>
      <c r="C29" s="0" t="inlineStr">
        <is>
          <t xml:space="preserve">assumption</t>
        </is>
      </c>
      <c r="D29" s="11" t="inlineStr">
        <is>
          <t xml:space="preserve">High: mostly competing for the same local customers.</t>
        </is>
      </c>
    </row>
    <row r="30">
      <c r="A30" s="0" t="inlineStr">
        <is>
          <t xml:space="preserve">Counterfactual share for non-transformational firms</t>
        </is>
      </c>
      <c r="B30" s="4">
        <v>0.2</v>
      </c>
      <c r="C30" s="0" t="inlineStr">
        <is>
          <t xml:space="preserve">assumption</t>
        </is>
      </c>
      <c r="D30" s="11"/>
    </row>
    <row r="31">
      <c r="A31" s="0" t="inlineStr">
        <is>
          <t xml:space="preserve">Annual income gain per unfunded finisher, USD</t>
        </is>
      </c>
      <c r="B31" s="4">
        <v>12</v>
      </c>
      <c r="C31" s="0" t="inlineStr">
        <is>
          <t xml:space="preserve">assumption</t>
        </is>
      </c>
      <c r="D31" s="11" t="inlineStr">
        <is>
          <t xml:space="preserve">Small per head, large N. Genuinely unmeasured.</t>
        </is>
      </c>
    </row>
    <row r="32">
      <c r="A32" s="0" t="inlineStr">
        <is>
          <t xml:space="preserve">Years the learning gain persists</t>
        </is>
      </c>
      <c r="B32" s="4">
        <v>2</v>
      </c>
      <c r="C32" s="0" t="inlineStr">
        <is>
          <t xml:space="preserve">assumption</t>
        </is>
      </c>
      <c r="D32" s="11"/>
    </row>
    <row r="33">
      <c r="A33" s="0" t="inlineStr">
        <is>
          <t xml:space="preserve">Uncertainty haircut on the learning effect</t>
        </is>
      </c>
      <c r="B33" s="4">
        <v>0.5</v>
      </c>
      <c r="C33" s="0" t="inlineStr">
        <is>
          <t xml:space="preserve">assumption</t>
        </is>
      </c>
      <c r="D33" s="11" t="inlineStr">
        <is>
          <t xml:space="preserve">Generic business training has a weak evidence base.</t>
        </is>
      </c>
    </row>
    <row r="34">
      <c r="A34" s="0" t="inlineStr">
        <is>
          <t xml:space="preserve">Annual income gain from a USD 1,000 cash transfer</t>
        </is>
      </c>
      <c r="B34" s="4">
        <v>270</v>
      </c>
      <c r="C34" s="0" t="inlineStr">
        <is>
          <t xml:space="preserve">unverified</t>
        </is>
      </c>
      <c r="D34" s="11" t="inlineStr">
        <is>
          <t xml:space="preserve">Roughly GiveDirectly-shaped. NOT checked against a source.</t>
        </is>
      </c>
    </row>
    <row r="35">
      <c r="A35" s="0" t="inlineStr">
        <is>
          <t xml:space="preserve">GiveWell funding bar, multiples of the cash benchmark</t>
        </is>
      </c>
      <c r="B35" s="4">
        <v>6</v>
      </c>
      <c r="C35" s="0" t="inlineStr">
        <is>
          <t xml:space="preserve">sourced</t>
        </is>
      </c>
      <c r="D35" s="11" t="inlineStr">
        <is>
          <t xml:space="preserve">givewell.org, cost-effectiveness models page, stated as of May 2026.</t>
        </is>
      </c>
    </row>
    <row r="36">
      <c r="A36" s="0" t="inlineStr">
        <is>
          <t xml:space="preserve">Years the cash-transfer gain persists</t>
        </is>
      </c>
      <c r="B36" s="4">
        <v>3</v>
      </c>
      <c r="C36" s="0" t="inlineStr">
        <is>
          <t xml:space="preserve">unverified</t>
        </is>
      </c>
      <c r="D36" s="11"/>
    </row>
    <row r="37">
      <c r="A37" s="0" t="inlineStr">
        <is>
          <t xml:space="preserve">Stage-2 fixed tranche, USD</t>
        </is>
      </c>
      <c r="B37" s="4">
        <v>10000</v>
      </c>
      <c r="C37" s="0" t="inlineStr">
        <is>
          <t xml:space="preserve">assumption</t>
        </is>
      </c>
      <c r="D37" s="11" t="inlineStr">
        <is>
          <t xml:space="preserve">Owner: the least that reveals absorptive capacity (D-038).</t>
        </is>
      </c>
    </row>
    <row r="38">
      <c r="A38" s="0" t="inlineStr">
        <is>
          <t xml:space="preserve">Share of stage-1 firms advancing to stage 2</t>
        </is>
      </c>
      <c r="B38" s="4">
        <v>0.24</v>
      </c>
      <c r="C38" s="0" t="inlineStr">
        <is>
          <t xml:space="preserve">assumption</t>
        </is>
      </c>
      <c r="D38" s="11"/>
    </row>
    <row r="39">
      <c r="A39" s="0" t="inlineStr">
        <is>
          <t xml:space="preserve">Stage-3 fixed tranche, USD</t>
        </is>
      </c>
      <c r="B39" s="4">
        <v>60000</v>
      </c>
      <c r="C39" s="0" t="inlineStr">
        <is>
          <t xml:space="preserve">assumption</t>
        </is>
      </c>
      <c r="D39" s="11"/>
    </row>
    <row r="40">
      <c r="A40" s="0" t="inlineStr">
        <is>
          <t xml:space="preserve">Share of stage-2 firms advancing to stage 3</t>
        </is>
      </c>
      <c r="B40" s="4">
        <v>0.25</v>
      </c>
      <c r="C40" s="0" t="inlineStr">
        <is>
          <t xml:space="preserve">assumption</t>
        </is>
      </c>
      <c r="D40" s="11"/>
    </row>
    <row r="41">
      <c r="A41" s="0" t="inlineStr">
        <is>
          <t xml:space="preserve">Capital the pipeline might eventually allocate, USD</t>
        </is>
      </c>
      <c r="B41" s="4">
        <v>100000000</v>
      </c>
      <c r="C41" s="0" t="inlineStr">
        <is>
          <t xml:space="preserve">owner</t>
        </is>
      </c>
      <c r="D41" s="11" t="inlineStr">
        <is>
          <t xml:space="preserve">'Hundreds of millions' — modelled at 100m, conservatively.</t>
        </is>
      </c>
    </row>
    <row r="42">
      <c r="A42" s="0" t="inlineStr">
        <is>
          <t xml:space="preserve">Allocation improvement a validated filter buys</t>
        </is>
      </c>
      <c r="B42" s="4">
        <v>0.01</v>
      </c>
      <c r="C42" s="0" t="inlineStr">
        <is>
          <t xml:space="preserve">assumption</t>
        </is>
      </c>
      <c r="D42" s="11" t="inlineStr">
        <is>
          <t xml:space="preserve">One percent. Deliberately timid.</t>
        </is>
      </c>
    </row>
    <row r="43">
      <c r="A43" s="0" t="inlineStr">
        <is>
          <t xml:space="preserve">Annual discount rate</t>
        </is>
      </c>
      <c r="B43" s="4">
        <v>0.05</v>
      </c>
      <c r="C43" s="0" t="inlineStr">
        <is>
          <t xml:space="preserve">assumption</t>
        </is>
      </c>
      <c r="D43" s="11"/>
    </row>
  </sheetData>
</worksheet>
</file>

<file path=xl/worksheets/sheet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46" customWidth="1"/>
    <col min="2" max="2" width="44" customWidth="1"/>
    <col min="3" max="3" width="16" customWidth="1"/>
    <col min="4" max="4" width="46" customWidth="1"/>
  </cols>
  <sheetData>
    <row r="1">
      <c r="A1" s="1" t="inlineStr">
        <is>
          <t xml:space="preserve">Calculation — every step, live</t>
        </is>
      </c>
    </row>
    <row r="2">
      <c r="A2" s="2" t="inlineStr">
        <is>
          <t xml:space="preserve">Step</t>
        </is>
      </c>
      <c r="B2" s="2" t="inlineStr">
        <is>
          <t xml:space="preserve">Formula</t>
        </is>
      </c>
      <c r="C2" s="2" t="inlineStr">
        <is>
          <t xml:space="preserve">Value</t>
        </is>
      </c>
      <c r="D2" s="2" t="inlineStr">
        <is>
          <t xml:space="preserve">Note</t>
        </is>
      </c>
    </row>
    <row r="4">
      <c r="A4" s="3" t="inlineStr">
        <is>
          <t xml:space="preserve">1 · Funnel</t>
        </is>
      </c>
      <c r="B4" s="3"/>
      <c r="C4" s="3"/>
      <c r="D4" s="3"/>
    </row>
    <row r="5">
      <c r="A5" s="0" t="inlineStr">
        <is>
          <t xml:space="preserve">People reached</t>
        </is>
      </c>
      <c r="B5" s="11" t="inlineStr">
        <is>
          <t xml:space="preserve">= Inputs!B3</t>
        </is>
      </c>
      <c r="C5" s="8">
        <f>Inputs!B3</f>
        <v>3000</v>
      </c>
      <c r="D5" s="11"/>
    </row>
    <row r="6">
      <c r="A6" s="0" t="inlineStr">
        <is>
          <t xml:space="preserve">Finish chapter 1</t>
        </is>
      </c>
      <c r="B6" s="11" t="inlineStr">
        <is>
          <t xml:space="preserve">= C5*Inputs!B4</t>
        </is>
      </c>
      <c r="C6" s="8">
        <f>C5*Inputs!B4</f>
        <v>1050.0</v>
      </c>
      <c r="D6" s="11"/>
    </row>
    <row r="7">
      <c r="A7" s="0" t="inlineStr">
        <is>
          <t xml:space="preserve">Submit a forecast through the portal</t>
        </is>
      </c>
      <c r="B7" s="11" t="inlineStr">
        <is>
          <t xml:space="preserve">= C6*Inputs!B5</t>
        </is>
      </c>
      <c r="C7" s="8">
        <f>C6*Inputs!B5</f>
        <v>210.0</v>
      </c>
      <c r="D7" s="11"/>
    </row>
    <row r="8">
      <c r="A8" s="0" t="inlineStr">
        <is>
          <t xml:space="preserve">Funded</t>
        </is>
      </c>
      <c r="B8" s="11" t="inlineStr">
        <is>
          <t xml:space="preserve">= MIN(Inputs!B6,C7)</t>
        </is>
      </c>
      <c r="C8" s="8">
        <f>MIN(Inputs!B6,C7)</f>
        <v>50</v>
      </c>
      <c r="D8" s="11"/>
    </row>
    <row r="9">
      <c r="A9" s="0" t="inlineStr">
        <is>
          <t xml:space="preserve">Selection ratio</t>
        </is>
      </c>
      <c r="B9" s="11" t="inlineStr">
        <is>
          <t xml:space="preserve">= C8/C7</t>
        </is>
      </c>
      <c r="C9" s="7">
        <f>C8/C7</f>
        <v>0.23809523809523808</v>
      </c>
      <c r="D9" s="11"/>
    </row>
    <row r="10">
      <c r="A10" s="0" t="inlineStr">
        <is>
          <t xml:space="preserve">Finishers who receive nothing</t>
        </is>
      </c>
      <c r="B10" s="11" t="inlineStr">
        <is>
          <t xml:space="preserve">= C6-C8</t>
        </is>
      </c>
      <c r="C10" s="8">
        <f>C6-C8</f>
        <v>1000.0</v>
      </c>
      <c r="D10" s="11"/>
    </row>
    <row r="12">
      <c r="A12" s="3" t="inlineStr">
        <is>
          <t xml:space="preserve">2 · Cost</t>
        </is>
      </c>
      <c r="B12" s="3"/>
      <c r="C12" s="3"/>
      <c r="D12" s="3"/>
    </row>
    <row r="13">
      <c r="A13" s="0" t="inlineStr">
        <is>
          <t xml:space="preserve">Grants</t>
        </is>
      </c>
      <c r="B13" s="11" t="inlineStr">
        <is>
          <t xml:space="preserve">= C8*Inputs!B7</t>
        </is>
      </c>
      <c r="C13" s="5">
        <f>C8*Inputs!B7</f>
        <v>50000</v>
      </c>
      <c r="D13" s="11"/>
    </row>
    <row r="14">
      <c r="A14" s="0" t="inlineStr">
        <is>
          <t xml:space="preserve">Recruitment</t>
        </is>
      </c>
      <c r="B14" s="11" t="inlineStr">
        <is>
          <t xml:space="preserve">= C5*Inputs!B8</t>
        </is>
      </c>
      <c r="C14" s="5">
        <f>C5*Inputs!B8</f>
        <v>6000.0</v>
      </c>
      <c r="D14" s="11"/>
    </row>
    <row r="15">
      <c r="A15" s="0" t="inlineStr">
        <is>
          <t xml:space="preserve">Six-month reviews</t>
        </is>
      </c>
      <c r="B15" s="11" t="inlineStr">
        <is>
          <t xml:space="preserve">= C8*Inputs!B11</t>
        </is>
      </c>
      <c r="C15" s="5">
        <f>C8*Inputs!B11</f>
        <v>7500</v>
      </c>
      <c r="D15" s="11"/>
    </row>
    <row r="16">
      <c r="A16" s="0" t="inlineStr">
        <is>
          <t xml:space="preserve">Hosting</t>
        </is>
      </c>
      <c r="B16" s="11" t="inlineStr">
        <is>
          <t xml:space="preserve">= Inputs!B12</t>
        </is>
      </c>
      <c r="C16" s="5">
        <f>Inputs!B12</f>
        <v>200</v>
      </c>
      <c r="D16" s="11"/>
    </row>
    <row r="17">
      <c r="A17" s="0" t="inlineStr">
        <is>
          <t xml:space="preserve">Platform build (one-off)</t>
        </is>
      </c>
      <c r="B17" s="11" t="inlineStr">
        <is>
          <t xml:space="preserve">= Inputs!B9</t>
        </is>
      </c>
      <c r="C17" s="5">
        <f>Inputs!B9</f>
        <v>100</v>
      </c>
      <c r="D17" s="11" t="inlineStr">
        <is>
          <t xml:space="preserve">AI-built, not a dev team.</t>
        </is>
      </c>
    </row>
    <row r="18">
      <c r="A18" s="0" t="inlineStr">
        <is>
          <t xml:space="preserve">AI marking</t>
        </is>
      </c>
      <c r="B18" s="11" t="inlineStr">
        <is>
          <t xml:space="preserve">= C7*Inputs!B10</t>
        </is>
      </c>
      <c r="C18" s="6">
        <f>C7*Inputs!B10</f>
        <v>2.1</v>
      </c>
      <c r="D18" s="11"/>
    </row>
    <row r="19">
      <c r="A19" s="0" t="inlineStr">
        <is>
          <t xml:space="preserve">Subtotal</t>
        </is>
      </c>
      <c r="B19" s="11" t="inlineStr">
        <is>
          <t xml:space="preserve">= SUM(C13:C18)</t>
        </is>
      </c>
      <c r="C19" s="5">
        <f>SUM(C13:C18)</f>
        <v>63802.09999999999</v>
      </c>
      <c r="D19" s="11"/>
    </row>
    <row r="20">
      <c r="A20" s="0" t="inlineStr">
        <is>
          <t xml:space="preserve">Administration</t>
        </is>
      </c>
      <c r="B20" s="11" t="inlineStr">
        <is>
          <t xml:space="preserve">= C19*Inputs!B13</t>
        </is>
      </c>
      <c r="C20" s="5">
        <f>C19*Inputs!B13</f>
        <v>9570.314999999999</v>
      </c>
      <c r="D20" s="11"/>
    </row>
    <row r="21">
      <c r="A21" s="0" t="inlineStr">
        <is>
          <t xml:space="preserve">TOTAL COST</t>
        </is>
      </c>
      <c r="B21" s="11" t="inlineStr">
        <is>
          <t xml:space="preserve">= C19+C20</t>
        </is>
      </c>
      <c r="C21" s="5">
        <f>C19+C20</f>
        <v>73372.415</v>
      </c>
      <c r="D21" s="11"/>
    </row>
    <row r="23">
      <c r="A23" s="3" t="inlineStr">
        <is>
          <t xml:space="preserve">3 · Benefit — transformational firms</t>
        </is>
      </c>
      <c r="B23" s="3"/>
      <c r="C23" s="3"/>
      <c r="D23" s="3"/>
    </row>
    <row r="24">
      <c r="A24" s="0" t="inlineStr">
        <is>
          <t xml:space="preserve">Transformational firms</t>
        </is>
      </c>
      <c r="B24" s="11" t="inlineStr">
        <is>
          <t xml:space="preserve">= C8*Inputs!B14</t>
        </is>
      </c>
      <c r="C24" s="9">
        <f>C8*Inputs!B14</f>
        <v>3.0</v>
      </c>
      <c r="D24" s="11"/>
    </row>
    <row r="25">
      <c r="A25" s="0" t="inlineStr">
        <is>
          <t xml:space="preserve">Worker income gain, year 1</t>
        </is>
      </c>
      <c r="B25" s="11" t="inlineStr">
        <is>
          <t xml:space="preserve">= Inputs!B15*Inputs!B19</t>
        </is>
      </c>
      <c r="C25" s="5">
        <f>Inputs!B15*Inputs!B19</f>
        <v>3000</v>
      </c>
      <c r="D25" s="11"/>
    </row>
    <row r="26">
      <c r="A26" s="0" t="inlineStr">
        <is>
          <t xml:space="preserve">PV factor — grows, survives, bounded by the horizon</t>
        </is>
      </c>
      <c r="B26" s="11" t="inlineStr">
        <is>
          <t xml:space="preserve">= (1/(1+Inputs!B43))*(1-(((1+Inputs!B16)*Inputs!B17/(1+Inputs!B43))^Inputs!B18))/(1-((1+Inputs!B16)*Inputs!B17/(1+Inputs!B43)))</t>
        </is>
      </c>
      <c r="C26" s="9">
        <f>(1/(1+Inputs!B43))*(1-(((1+Inputs!B16)*Inputs!B17/(1+Inputs!B43))^Inputs!B18))/(1-((1+Inputs!B16)*Inputs!B17/(1+Inputs!B43)))</f>
        <v>12.561921320551384</v>
      </c>
      <c r="D26" s="11" t="inlineStr">
        <is>
          <t xml:space="preserve">Growth and survival together, rather than a hard cut-off year.</t>
        </is>
      </c>
    </row>
    <row r="27">
      <c r="A27" s="0" t="inlineStr">
        <is>
          <t xml:space="preserve">PV of worker income gains</t>
        </is>
      </c>
      <c r="B27" s="11" t="inlineStr">
        <is>
          <t xml:space="preserve">= C25*C26</t>
        </is>
      </c>
      <c r="C27" s="5">
        <f>C25*C26</f>
        <v>37685.76396165416</v>
      </c>
      <c r="D27" s="11"/>
    </row>
    <row r="28">
      <c r="A28" s="0" t="inlineStr">
        <is>
          <t xml:space="preserve">+ owner's own net income</t>
        </is>
      </c>
      <c r="B28" s="11" t="inlineStr">
        <is>
          <t xml:space="preserve">= C27*Inputs!B20</t>
        </is>
      </c>
      <c r="C28" s="5">
        <f>C27*Inputs!B20</f>
        <v>13190.017386578955</v>
      </c>
      <c r="D28" s="11"/>
    </row>
    <row r="29">
      <c r="A29" s="0" t="inlineStr">
        <is>
          <t xml:space="preserve">+ tax paid once formal</t>
        </is>
      </c>
      <c r="B29" s="11" t="inlineStr">
        <is>
          <t xml:space="preserve">= C27*Inputs!B21*Inputs!B22</t>
        </is>
      </c>
      <c r="C29" s="5">
        <f>C27*Inputs!B21*Inputs!B22</f>
        <v>9421.44099041354</v>
      </c>
      <c r="D29" s="11" t="inlineStr">
        <is>
          <t xml:space="preserve">Set public_value to 0 to exclude tax entirely.</t>
        </is>
      </c>
    </row>
    <row r="30">
      <c r="A30" s="0" t="inlineStr">
        <is>
          <t xml:space="preserve">+ local supplier income</t>
        </is>
      </c>
      <c r="B30" s="11" t="inlineStr">
        <is>
          <t xml:space="preserve">= C27*Inputs!B23</t>
        </is>
      </c>
      <c r="C30" s="5">
        <f>C27*Inputs!B23</f>
        <v>11305.729188496247</v>
      </c>
      <c r="D30" s="11"/>
    </row>
    <row r="31">
      <c r="A31" s="0" t="inlineStr">
        <is>
          <t xml:space="preserve">Gross PV per firm</t>
        </is>
      </c>
      <c r="B31" s="11" t="inlineStr">
        <is>
          <t xml:space="preserve">= C27+C28+C29+C30</t>
        </is>
      </c>
      <c r="C31" s="5">
        <f>C27+C28+C29+C30</f>
        <v>71602.9515271429</v>
      </c>
      <c r="D31" s="11"/>
    </row>
    <row r="32">
      <c r="A32" s="0" t="inlineStr">
        <is>
          <t xml:space="preserve">less displacement and counterfactual</t>
        </is>
      </c>
      <c r="B32" s="11" t="inlineStr">
        <is>
          <t xml:space="preserve">= C31*(1-Inputs!B24)*(1-Inputs!B25)</t>
        </is>
      </c>
      <c r="C32" s="5">
        <f>C31*(1-Inputs!B24)*(1-Inputs!B25)</f>
        <v>30431.25439903573</v>
      </c>
      <c r="D32" s="11"/>
    </row>
    <row r="33">
      <c r="A33" s="0" t="inlineStr">
        <is>
          <t xml:space="preserve">STREAM TOTAL</t>
        </is>
      </c>
      <c r="B33" s="11" t="inlineStr">
        <is>
          <t xml:space="preserve">= C24*C32</t>
        </is>
      </c>
      <c r="C33" s="5">
        <f>C24*C32</f>
        <v>91293.76319710718</v>
      </c>
      <c r="D33" s="11"/>
    </row>
    <row r="35">
      <c r="A35" s="3" t="inlineStr">
        <is>
          <t xml:space="preserve">4 · Benefit — other funded firms</t>
        </is>
      </c>
      <c r="B35" s="3"/>
      <c r="C35" s="3"/>
      <c r="D35" s="3"/>
    </row>
    <row r="36">
      <c r="A36" s="0" t="inlineStr">
        <is>
          <t xml:space="preserve">Firms</t>
        </is>
      </c>
      <c r="B36" s="11" t="inlineStr">
        <is>
          <t xml:space="preserve">= C8-C24</t>
        </is>
      </c>
      <c r="C36" s="9">
        <f>C8-C24</f>
        <v>47.0</v>
      </c>
      <c r="D36" s="11"/>
    </row>
    <row r="37">
      <c r="A37" s="0" t="inlineStr">
        <is>
          <t xml:space="preserve">PV factor — survives, bounded by the horizon</t>
        </is>
      </c>
      <c r="B37" s="11" t="inlineStr">
        <is>
          <t xml:space="preserve">= (1/(1+Inputs!B43))*(1-((Inputs!B27/(1+Inputs!B43))^Inputs!B28))/(1-(Inputs!B27/(1+Inputs!B43)))</t>
        </is>
      </c>
      <c r="C37" s="9">
        <f>(1/(1+Inputs!B43))*(1-((Inputs!B27/(1+Inputs!B43))^Inputs!B28))/(1-(Inputs!B27/(1+Inputs!B43)))</f>
        <v>4.077838434368493</v>
      </c>
      <c r="D37" s="11"/>
    </row>
    <row r="38">
      <c r="A38" s="0" t="inlineStr">
        <is>
          <t xml:space="preserve">STREAM TOTAL</t>
        </is>
      </c>
      <c r="B38" s="11" t="inlineStr">
        <is>
          <t xml:space="preserve">= C36*Inputs!B26*C37*(1-Inputs!B29)*(1-Inputs!B30)</t>
        </is>
      </c>
      <c r="C38" s="5">
        <f>C36*Inputs!B26*C37*(1-Inputs!B29)*(1-Inputs!B30)</f>
        <v>41398.21578570895</v>
      </c>
      <c r="D38" s="11" t="inlineStr">
        <is>
          <t xml:space="preserve">Not a cash transfer: selection plus discipline.</t>
        </is>
      </c>
    </row>
    <row r="40">
      <c r="A40" s="3" t="inlineStr">
        <is>
          <t xml:space="preserve">5 · Benefit — learning, among finishers who get nothing</t>
        </is>
      </c>
      <c r="B40" s="3"/>
      <c r="C40" s="3"/>
      <c r="D40" s="3"/>
    </row>
    <row r="41">
      <c r="A41" s="0" t="inlineStr">
        <is>
          <t xml:space="preserve">PV factor</t>
        </is>
      </c>
      <c r="B41" s="11" t="inlineStr">
        <is>
          <t xml:space="preserve">= (1-(1+Inputs!B43)^-Inputs!B32)/Inputs!B43</t>
        </is>
      </c>
      <c r="C41" s="9">
        <f>(1-(1+Inputs!B43)^-Inputs!B32)/Inputs!B43</f>
        <v>1.8594104308390036</v>
      </c>
      <c r="D41" s="11"/>
    </row>
    <row r="42">
      <c r="A42" s="0" t="inlineStr">
        <is>
          <t xml:space="preserve">STREAM TOTAL</t>
        </is>
      </c>
      <c r="B42" s="11" t="inlineStr">
        <is>
          <t xml:space="preserve">= C10*Inputs!B31*C41*Inputs!B33</t>
        </is>
      </c>
      <c r="C42" s="5">
        <f>C10*Inputs!B31*C41*Inputs!B33</f>
        <v>11156.462585034022</v>
      </c>
      <c r="D42" s="11" t="inlineStr">
        <is>
          <t xml:space="preserve">Large N, tiny per head, genuinely unmeasured.</t>
        </is>
      </c>
    </row>
    <row r="44">
      <c r="A44" s="3" t="inlineStr">
        <is>
          <t xml:space="preserve">6 · Cash benchmark</t>
        </is>
      </c>
      <c r="B44" s="3"/>
      <c r="C44" s="3"/>
      <c r="D44" s="3"/>
    </row>
    <row r="45">
      <c r="A45" s="0" t="inlineStr">
        <is>
          <t xml:space="preserve">PV factor</t>
        </is>
      </c>
      <c r="B45" s="11" t="inlineStr">
        <is>
          <t xml:space="preserve">= (1-(1+Inputs!B43)^-Inputs!B36)/Inputs!B43</t>
        </is>
      </c>
      <c r="C45" s="9">
        <f>(1-(1+Inputs!B43)^-Inputs!B36)/Inputs!B43</f>
        <v>2.7232480293704797</v>
      </c>
      <c r="D45" s="11"/>
    </row>
    <row r="46">
      <c r="A46" s="0" t="inlineStr">
        <is>
          <t xml:space="preserve">PV income per $1 of unconditional cash</t>
        </is>
      </c>
      <c r="B46" s="11" t="inlineStr">
        <is>
          <t xml:space="preserve">= Inputs!B34*C45/1000</t>
        </is>
      </c>
      <c r="C46" s="9">
        <f>Inputs!B34*C45/1000</f>
        <v>0.7352769679300295</v>
      </c>
      <c r="D46" s="11" t="inlineStr">
        <is>
          <t xml:space="preserve">Benchmark. Input is unverified.</t>
        </is>
      </c>
    </row>
    <row r="48">
      <c r="A48" s="3" t="inlineStr">
        <is>
          <t xml:space="preserve">7 · Result</t>
        </is>
      </c>
      <c r="B48" s="3"/>
      <c r="C48" s="3"/>
      <c r="D48" s="3"/>
    </row>
    <row r="49">
      <c r="A49" s="0" t="inlineStr">
        <is>
          <t xml:space="preserve">Total PV benefit</t>
        </is>
      </c>
      <c r="B49" s="11" t="inlineStr">
        <is>
          <t xml:space="preserve">= C33+C38+C42</t>
        </is>
      </c>
      <c r="C49" s="5">
        <f>C33+C38+C42</f>
        <v>143848.44156785015</v>
      </c>
      <c r="D49" s="11"/>
    </row>
    <row r="50">
      <c r="A50" s="0" t="inlineStr">
        <is>
          <t xml:space="preserve">PV income per $1 spent</t>
        </is>
      </c>
      <c r="B50" s="11" t="inlineStr">
        <is>
          <t xml:space="preserve">= C49/C21</t>
        </is>
      </c>
      <c r="C50" s="9">
        <f>C49/C21</f>
        <v>1.9605248316802735</v>
      </c>
      <c r="D50" s="11"/>
    </row>
    <row r="51">
      <c r="A51" s="0" t="inlineStr">
        <is>
          <t xml:space="preserve">Multiple of unconditional cash</t>
        </is>
      </c>
      <c r="B51" s="11" t="inlineStr">
        <is>
          <t xml:space="preserve">= C50/C46</t>
        </is>
      </c>
      <c r="C51" s="10">
        <f>C50/C46</f>
        <v>2.6663759606119486</v>
      </c>
      <c r="D51" s="11"/>
    </row>
    <row r="52">
      <c r="A52" s="0" t="inlineStr">
        <is>
          <t xml:space="preserve">Hit rate needed to match cash</t>
        </is>
      </c>
      <c r="B52" s="11" t="inlineStr">
        <is>
          <t xml:space="preserve">= ((C46*C21)-(C38+C42))/C32/C8</t>
        </is>
      </c>
      <c r="C52" s="7">
        <f>((C46*C21)-(C38+C42))/C32/C8</f>
        <v>0.0009164055098596417</v>
      </c>
      <c r="D52" s="11" t="inlineStr">
        <is>
          <t xml:space="preserve">Holds the other two streams at their base values.</t>
        </is>
      </c>
    </row>
    <row r="53">
      <c r="A53" s="0" t="inlineStr">
        <is>
          <t xml:space="preserve">Hit rate needed to clear the 6× bar</t>
        </is>
      </c>
      <c r="B53" s="11" t="inlineStr">
        <is>
          <t xml:space="preserve">= ((C46*Inputs!B35*C21)-(C38+C42))/C32/C8</t>
        </is>
      </c>
      <c r="C53" s="7">
        <f>((C46*Inputs!B35*C21)-(C38+C42))/C32/C8</f>
        <v>0.1781981110994041</v>
      </c>
      <c r="D53" s="11"/>
    </row>
    <row r="54">
      <c r="A54" s="0" t="inlineStr">
        <is>
          <t xml:space="preserve">Cost per transformational firm</t>
        </is>
      </c>
      <c r="B54" s="11" t="inlineStr">
        <is>
          <t xml:space="preserve">= C21/C24</t>
        </is>
      </c>
      <c r="C54" s="5">
        <f>C21/C24</f>
        <v>24457.471666666665</v>
      </c>
      <c r="D54" s="11"/>
    </row>
  </sheetData>
</worksheet>
</file>

<file path=xl/worksheets/sheet4.xml><?xml version="1.0" encoding="utf-8"?>
<worksheet xmlns="http://schemas.openxmlformats.org/spreadsheetml/2006/main">
  <cols>
    <col min="1" max="1" width="52" customWidth="1"/>
    <col min="2" max="2" width="18" customWidth="1"/>
    <col min="3" max="3" width="60" customWidth="1"/>
  </cols>
  <sheetData>
    <row r="1">
      <c r="A1" s="1" t="inlineStr">
        <is>
          <t xml:space="preserve">Results</t>
        </is>
      </c>
    </row>
    <row r="2">
      <c r="A2" s="2" t="inlineStr">
        <is>
          <t xml:space="preserve">Output</t>
        </is>
      </c>
      <c r="B2" s="2" t="inlineStr">
        <is>
          <t xml:space="preserve">Value</t>
        </is>
      </c>
      <c r="C2" s="2" t="inlineStr">
        <is>
          <t xml:space="preserve">Reading</t>
        </is>
      </c>
    </row>
    <row r="3">
      <c r="A3" s="12" t="inlineStr">
        <is>
          <t xml:space="preserve">Total cost of the pilot</t>
        </is>
      </c>
      <c r="B3" s="5">
        <f>Calculation!C21</f>
        <v>73372.415</v>
      </c>
      <c r="C3" s="11" t="inlineStr">
        <is>
          <t xml:space="preserve">Of which 68% reaches founders as cash.</t>
        </is>
      </c>
    </row>
    <row r="4">
      <c r="A4" s="12" t="inlineStr">
        <is>
          <t xml:space="preserve">Total PV benefit</t>
        </is>
      </c>
      <c r="B4" s="5">
        <f>Calculation!C49</f>
        <v>143848.44156785015</v>
      </c>
      <c r="C4" s="11" t="inlineStr">
        <is>
          <t xml:space="preserve">Three streams: transformational firms, other funded firms, learning.</t>
        </is>
      </c>
    </row>
    <row r="5">
      <c r="A5" s="12" t="inlineStr">
        <is>
          <t xml:space="preserve">PV income per $1 spent</t>
        </is>
      </c>
      <c r="B5" s="9">
        <f>Calculation!C50</f>
        <v>1.9605248316802735</v>
      </c>
      <c r="C5" s="11"/>
    </row>
    <row r="6">
      <c r="A6" s="12" t="inlineStr">
        <is>
          <t xml:space="preserve">Unconditional cash benchmark</t>
        </is>
      </c>
      <c r="B6" s="9">
        <f>Calculation!C46</f>
        <v>0.7352769679300295</v>
      </c>
      <c r="C6" s="11" t="inlineStr">
        <is>
          <t xml:space="preserve">PV income per $1 of cash handed over. Input is unverified.</t>
        </is>
      </c>
    </row>
    <row r="7">
      <c r="A7" s="12" t="inlineStr">
        <is>
          <t xml:space="preserve">MULTIPLE OF CASH</t>
        </is>
      </c>
      <c r="B7" s="10">
        <f>Calculation!C51</f>
        <v>2.6663759606119486</v>
      </c>
      <c r="C7" s="11" t="inlineStr">
        <is>
          <t xml:space="preserve">The headline number, in GiveWell's units.</t>
        </is>
      </c>
    </row>
    <row r="8">
      <c r="A8" s="12" t="inlineStr">
        <is>
          <t xml:space="preserve">GiveWell funding bar</t>
        </is>
      </c>
      <c r="B8" s="10">
        <f>Inputs!B35</f>
        <v>6</v>
      </c>
      <c r="C8" s="11" t="inlineStr">
        <is>
          <t xml:space="preserve">Their stated bar for making a grant, as of May 2026.</t>
        </is>
      </c>
    </row>
    <row r="9">
      <c r="A9" s="12" t="inlineStr">
        <is>
          <t xml:space="preserve">Hit rate needed to match cash</t>
        </is>
      </c>
      <c r="B9" s="7">
        <f>Calculation!C52</f>
        <v>0.0009164055098596417</v>
      </c>
      <c r="C9" s="11" t="inlineStr">
        <is>
          <t xml:space="preserve">Share of funded firms that must become transformational.</t>
        </is>
      </c>
    </row>
    <row r="10">
      <c r="A10" s="12" t="inlineStr">
        <is>
          <t xml:space="preserve">Hit rate needed to clear 6×</t>
        </is>
      </c>
      <c r="B10" s="7">
        <f>Calculation!C53</f>
        <v>0.1781981110994041</v>
      </c>
      <c r="C10" s="11" t="inlineStr">
        <is>
          <t xml:space="preserve">The honest test. Compare against what you believe is achievable.</t>
        </is>
      </c>
    </row>
    <row r="11">
      <c r="A11" s="12" t="inlineStr">
        <is>
          <t xml:space="preserve">Cost per transformational firm</t>
        </is>
      </c>
      <c r="B11" s="5">
        <f>Calculation!C54</f>
        <v>24457.471666666665</v>
      </c>
      <c r="C11" s="11"/>
    </row>
    <row r="13">
      <c r="A13" s="3" t="inlineStr">
        <is>
          <t xml:space="preserve">What this says</t>
        </is>
      </c>
      <c r="B13" s="3"/>
      <c r="C13" s="3"/>
    </row>
    <row r="14">
      <c r="A14" s="13" t="inlineStr">
        <is>
          <t xml:space="preserve">At the base-case hit rate of 6%, the pipeline lands at 2.67× unconditional cash. It matches cash at a 0.1% hit rate and would need 18% to clear GiveWell's bar.</t>
        </is>
      </c>
    </row>
    <row r="15">
      <c r="A15" s="13"/>
    </row>
    <row r="16">
      <c r="A16" s="13" t="inlineStr">
        <is>
          <t xml:space="preserve">The sensitivity sheet is the real finding: the result is dominated by the hit rate and by jobs per firm. Recruitment cost, completion rate and the platform build barely move it. This is a venture portfolio, not a service-delivery programme, and it should be argued for and evaluated as one.</t>
        </is>
      </c>
    </row>
    <row r="17">
      <c r="A17" s="13"/>
    </row>
    <row r="18">
      <c r="A18" s="13" t="inlineStr">
        <is>
          <t xml:space="preserve">The pilot's largest output is not the firms funded. It is the only dataset that could ever tell you what the hit rate actually is — which is worth far more than one cohort's direct benefit, and is destroyed if every grant goes to the highest-ranked applicant.</t>
        </is>
      </c>
    </row>
  </sheetData>
</worksheet>
</file>

<file path=xl/worksheets/sheet5.xml><?xml version="1.0" encoding="utf-8"?>
<worksheet xmlns="http://schemas.openxmlformats.org/spreadsheetml/2006/main">
  <cols>
    <col min="1" max="1" width="50" customWidth="1"/>
    <col min="2" max="2" width="13" customWidth="1"/>
    <col min="3" max="3" width="12" customWidth="1"/>
    <col min="4" max="4" width="62" customWidth="1"/>
  </cols>
  <sheetData>
    <row r="1">
      <c r="A1" s="1" t="inlineStr">
        <is>
          <t xml:space="preserve">How much of the benefit is counted</t>
        </is>
      </c>
    </row>
    <row r="2">
      <c r="A2" s="11" t="inlineStr">
        <is>
          <t xml:space="preserve">Each row adds one component to the row above it.</t>
        </is>
      </c>
    </row>
    <row r="3">
      <c r="A3" s="2" t="inlineStr">
        <is>
          <t xml:space="preserve">What is counted</t>
        </is>
      </c>
      <c r="B3" s="2" t="inlineStr">
        <is>
          <t xml:space="preserve">PV per $1</t>
        </is>
      </c>
      <c r="C3" s="2" t="inlineStr">
        <is>
          <t xml:space="preserve">× cash</t>
        </is>
      </c>
      <c r="D3" s="2" t="inlineStr">
        <is>
          <t xml:space="preserve">Why</t>
        </is>
      </c>
    </row>
    <row r="4">
      <c r="A4" s="0" t="inlineStr">
        <is>
          <t xml:space="preserve">Wages only, and they stop after 6 years</t>
        </is>
      </c>
      <c r="B4" s="9">
        <v>0.46</v>
      </c>
      <c r="C4" s="10">
        <v>0.63</v>
      </c>
      <c r="D4" s="11" t="inlineStr">
        <is>
          <t xml:space="preserve">The original reading. A fixed worker income-gain base for a fixed period, nothing else.</t>
        </is>
      </c>
    </row>
    <row r="5">
      <c r="A5" s="0" t="inlineStr">
        <is>
          <t xml:space="preserve">+ the firm survives and grows</t>
        </is>
      </c>
      <c r="B5" s="9">
        <v>0.85</v>
      </c>
      <c r="C5" s="10">
        <v>1.16</v>
      </c>
      <c r="D5" s="11" t="inlineStr">
        <is>
          <t xml:space="preserve">A hard cut-off is the wrong shape. Survival decays the stream; growth is what 'transformational' means.</t>
        </is>
      </c>
    </row>
    <row r="6">
      <c r="A6" s="0" t="inlineStr">
        <is>
          <t xml:space="preserve">+ the owner's own income</t>
        </is>
      </c>
      <c r="B6" s="9">
        <v>1.079</v>
      </c>
      <c r="C6" s="10">
        <v>1.47</v>
      </c>
      <c r="D6" s="11" t="inlineStr">
        <is>
          <t xml:space="preserve">Previously counted at zero, which is plainly wrong.</t>
        </is>
      </c>
    </row>
    <row r="7">
      <c r="A7" s="0" t="inlineStr">
        <is>
          <t xml:space="preserve">+ tax paid once formal</t>
        </is>
      </c>
      <c r="B7" s="9">
        <v>1.243</v>
      </c>
      <c r="C7" s="10">
        <v>1.69</v>
      </c>
      <c r="D7" s="11" t="inlineStr">
        <is>
          <t xml:space="preserve">Valued at par with private income by default. Set public_value to 0 to drop it.</t>
        </is>
      </c>
    </row>
    <row r="8">
      <c r="A8" s="0" t="inlineStr">
        <is>
          <t xml:space="preserve">+ local suppliers</t>
        </is>
      </c>
      <c r="B8" s="9">
        <v>1.44</v>
      </c>
      <c r="C8" s="10">
        <v>1.96</v>
      </c>
      <c r="D8" s="11" t="inlineStr">
        <is>
          <t xml:space="preserve">Backward linkages. The most arguable rung on the ladder.</t>
        </is>
      </c>
    </row>
    <row r="9">
      <c r="A9" s="0" t="inlineStr">
        <is>
          <t xml:space="preserve">+ livelihood firms are not just cash</t>
        </is>
      </c>
      <c r="B9" s="9">
        <v>1.808</v>
      </c>
      <c r="C9" s="10">
        <v>2.46</v>
      </c>
      <c r="D9" s="11" t="inlineStr">
        <is>
          <t xml:space="preserve">Capital that stays in a trading business, in firms that passed a filter and wrote a forecast.</t>
        </is>
      </c>
    </row>
    <row r="10">
      <c r="A10" s="0" t="inlineStr">
        <is>
          <t xml:space="preserve">+ learning among those who get nothing</t>
        </is>
      </c>
      <c r="B10" s="9">
        <v>1.961</v>
      </c>
      <c r="C10" s="10">
        <v>2.67</v>
      </c>
      <c r="D10" s="11" t="inlineStr">
        <is>
          <t xml:space="preserve">Tiny per head, ~1,000 heads, and genuinely unmeasured.</t>
        </is>
      </c>
    </row>
    <row r="12">
      <c r="A12" s="13" t="inlineStr">
        <is>
          <t xml:space="preserve">Adding benefit categories is the easiest way to make any programme look good. None of these components is measured. A reader who does not accept a row can stop at the row above it and take that number instead — which is why the ladder is here rather than only the final figure. These are static values: each requires re-running the model with several inputs changed at once.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52" customWidth="1"/>
    <col min="2" max="2" width="13" customWidth="1"/>
    <col min="3" max="3" width="13" customWidth="1"/>
    <col min="4" max="4" width="14" customWidth="1"/>
    <col min="5" max="5" width="14" customWidth="1"/>
    <col min="6" max="6" width="12" customWidth="1"/>
  </cols>
  <sheetData>
    <row r="1">
      <c r="A1" s="1" t="inlineStr">
        <is>
          <t xml:space="preserve">Sensitivity — one parameter at a time, across its plausible range</t>
        </is>
      </c>
    </row>
    <row r="2">
      <c r="A2" s="2" t="inlineStr">
        <is>
          <t xml:space="preserve">Parameter</t>
        </is>
      </c>
      <c r="B2" s="2" t="inlineStr">
        <is>
          <t xml:space="preserve">Low</t>
        </is>
      </c>
      <c r="C2" s="2" t="inlineStr">
        <is>
          <t xml:space="preserve">High</t>
        </is>
      </c>
      <c r="D2" s="2" t="inlineStr">
        <is>
          <t xml:space="preserve">Ratio at low</t>
        </is>
      </c>
      <c r="E2" s="2" t="inlineStr">
        <is>
          <t xml:space="preserve">Ratio at high</t>
        </is>
      </c>
      <c r="F2" s="2" t="inlineStr">
        <is>
          <t xml:space="preserve">Swing</t>
        </is>
      </c>
    </row>
    <row r="3">
      <c r="A3" s="0" t="inlineStr">
        <is>
          <t xml:space="preserve">Annual growth in jobs</t>
        </is>
      </c>
      <c r="B3" s="9">
        <v>0.0</v>
      </c>
      <c r="C3" s="9">
        <v>0.25</v>
      </c>
      <c r="D3" s="9">
        <v>1.373</v>
      </c>
      <c r="E3" s="9">
        <v>3.603</v>
      </c>
      <c r="F3" s="9">
        <v>2.229</v>
      </c>
    </row>
    <row r="4">
      <c r="A4" s="0" t="inlineStr">
        <is>
          <t xml:space="preserve">Share of funded firms that become transformational</t>
        </is>
      </c>
      <c r="B4" s="9">
        <v>0.02</v>
      </c>
      <c r="C4" s="9">
        <v>0.12</v>
      </c>
      <c r="D4" s="9">
        <v>1.155</v>
      </c>
      <c r="E4" s="9">
        <v>3.169</v>
      </c>
      <c r="F4" s="9">
        <v>2.014</v>
      </c>
    </row>
    <row r="5">
      <c r="A5" s="0" t="inlineStr">
        <is>
          <t xml:space="preserve">Jobs at the point of the grant</t>
        </is>
      </c>
      <c r="B5" s="9">
        <v>2</v>
      </c>
      <c r="C5" s="9">
        <v>10</v>
      </c>
      <c r="D5" s="9">
        <v>1.214</v>
      </c>
      <c r="E5" s="9">
        <v>3.205</v>
      </c>
      <c r="F5" s="9">
        <v>1.991</v>
      </c>
    </row>
    <row r="6">
      <c r="A6" s="0" t="inlineStr">
        <is>
          <t xml:space="preserve">Annual survival probability, transformational firm</t>
        </is>
      </c>
      <c r="B6" s="9">
        <v>0.8</v>
      </c>
      <c r="C6" s="9">
        <v>0.97</v>
      </c>
      <c r="D6" s="9">
        <v>1.3</v>
      </c>
      <c r="E6" s="9">
        <v>2.532</v>
      </c>
      <c r="F6" s="9">
        <v>1.232</v>
      </c>
    </row>
    <row r="7">
      <c r="A7" s="0" t="inlineStr">
        <is>
          <t xml:space="preserve">Annual income gain per job, USD</t>
        </is>
      </c>
      <c r="B7" s="9">
        <v>400</v>
      </c>
      <c r="C7" s="9">
        <v>900</v>
      </c>
      <c r="D7" s="9">
        <v>1.546</v>
      </c>
      <c r="E7" s="9">
        <v>2.583</v>
      </c>
      <c r="F7" s="9">
        <v>1.037</v>
      </c>
    </row>
    <row r="8">
      <c r="A8" s="0" t="inlineStr">
        <is>
          <t xml:space="preserve">Share of transformational outcomes that would have happened anyway</t>
        </is>
      </c>
      <c r="B8" s="9">
        <v>0.7</v>
      </c>
      <c r="C8" s="9">
        <v>0.3</v>
      </c>
      <c r="D8" s="9">
        <v>1.463</v>
      </c>
      <c r="E8" s="9">
        <v>2.458</v>
      </c>
      <c r="F8" s="9">
        <v>0.995</v>
      </c>
    </row>
    <row r="9">
      <c r="A9" s="0" t="inlineStr">
        <is>
          <t xml:space="preserve">Horizon, transformational firm</t>
        </is>
      </c>
      <c r="B9" s="9">
        <v>8</v>
      </c>
      <c r="C9" s="9">
        <v>20</v>
      </c>
      <c r="D9" s="9">
        <v>1.423</v>
      </c>
      <c r="E9" s="9">
        <v>2.303</v>
      </c>
      <c r="F9" s="9">
        <v>0.88</v>
      </c>
    </row>
    <row r="10">
      <c r="A10" s="0" t="inlineStr">
        <is>
          <t xml:space="preserve">One-off build: portal, backend, AI judge, USD</t>
        </is>
      </c>
      <c r="B10" s="9">
        <v>40000</v>
      </c>
      <c r="C10" s="9">
        <v>100</v>
      </c>
      <c r="D10" s="9">
        <v>1.206</v>
      </c>
      <c r="E10" s="9">
        <v>1.961</v>
      </c>
      <c r="F10" s="9">
        <v>0.754</v>
      </c>
    </row>
    <row r="11">
      <c r="A11" s="0" t="inlineStr">
        <is>
          <t xml:space="preserve">Annual income gain, non-transformational funded firm, USD</t>
        </is>
      </c>
      <c r="B11" s="9">
        <v>200</v>
      </c>
      <c r="C11" s="9">
        <v>700</v>
      </c>
      <c r="D11" s="9">
        <v>1.647</v>
      </c>
      <c r="E11" s="9">
        <v>2.274</v>
      </c>
      <c r="F11" s="9">
        <v>0.627</v>
      </c>
    </row>
    <row r="12">
      <c r="A12" s="0" t="inlineStr">
        <is>
          <t xml:space="preserve">Displacement share — transformational firm</t>
        </is>
      </c>
      <c r="B12" s="9">
        <v>0.4</v>
      </c>
      <c r="C12" s="9">
        <v>0.05</v>
      </c>
      <c r="D12" s="9">
        <v>1.595</v>
      </c>
      <c r="E12" s="9">
        <v>2.107</v>
      </c>
      <c r="F12" s="9">
        <v>0.512</v>
      </c>
    </row>
    <row r="13">
      <c r="A13" s="0" t="inlineStr">
        <is>
          <t xml:space="preserve">Local supplier income gain, as a share of the worker income-gain base</t>
        </is>
      </c>
      <c r="B13" s="9">
        <v>0.0</v>
      </c>
      <c r="C13" s="9">
        <v>0.6</v>
      </c>
      <c r="D13" s="9">
        <v>1.764</v>
      </c>
      <c r="E13" s="9">
        <v>2.157</v>
      </c>
      <c r="F13" s="9">
        <v>0.393</v>
      </c>
    </row>
    <row r="14">
      <c r="A14" s="0" t="inlineStr">
        <is>
          <t xml:space="preserve">Owner's own net income gain, as a share of the worker income-gain base</t>
        </is>
      </c>
      <c r="B14" s="9">
        <v>0.0</v>
      </c>
      <c r="C14" s="9">
        <v>0.6</v>
      </c>
      <c r="D14" s="9">
        <v>1.731</v>
      </c>
      <c r="E14" s="9">
        <v>2.124</v>
      </c>
      <c r="F14" s="9">
        <v>0.393</v>
      </c>
    </row>
    <row r="15">
      <c r="A15" s="0" t="inlineStr">
        <is>
          <t xml:space="preserve">Recruitment cost per stage-0 start, USD</t>
        </is>
      </c>
      <c r="B15" s="9">
        <v>5.0</v>
      </c>
      <c r="C15" s="9">
        <v>0.5</v>
      </c>
      <c r="D15" s="9">
        <v>1.718</v>
      </c>
      <c r="E15" s="9">
        <v>2.109</v>
      </c>
      <c r="F15" s="9">
        <v>0.391</v>
      </c>
    </row>
    <row r="16">
      <c r="A16" s="0" t="inlineStr">
        <is>
          <t xml:space="preserve">Annual income gain per unfunded finisher, USD</t>
        </is>
      </c>
      <c r="B16" s="9">
        <v>0</v>
      </c>
      <c r="C16" s="9">
        <v>30</v>
      </c>
      <c r="D16" s="9">
        <v>1.808</v>
      </c>
      <c r="E16" s="9">
        <v>2.189</v>
      </c>
      <c r="F16" s="9">
        <v>0.38</v>
      </c>
    </row>
    <row r="17">
      <c r="A17" s="0" t="inlineStr">
        <is>
          <t xml:space="preserve">Annual survival probability, other funded firm</t>
        </is>
      </c>
      <c r="B17" s="9">
        <v>0.7</v>
      </c>
      <c r="C17" s="9">
        <v>0.93</v>
      </c>
      <c r="D17" s="9">
        <v>1.776</v>
      </c>
      <c r="E17" s="9">
        <v>2.113</v>
      </c>
      <c r="F17" s="9">
        <v>0.336</v>
      </c>
    </row>
    <row r="18">
      <c r="A18" s="0" t="inlineStr">
        <is>
          <t xml:space="preserve">Tax paid, as a share of the worker income-gain base</t>
        </is>
      </c>
      <c r="B18" s="9">
        <v>0.0</v>
      </c>
      <c r="C18" s="9">
        <v>0.5</v>
      </c>
      <c r="D18" s="9">
        <v>1.797</v>
      </c>
      <c r="E18" s="9">
        <v>2.124</v>
      </c>
      <c r="F18" s="9">
        <v>0.327</v>
      </c>
    </row>
    <row r="19">
      <c r="A19" s="0" t="inlineStr">
        <is>
          <t xml:space="preserve">Share of starts that finish chapter 1</t>
        </is>
      </c>
      <c r="B19" s="9">
        <v>0.2</v>
      </c>
      <c r="C19" s="9">
        <v>0.5</v>
      </c>
      <c r="D19" s="9">
        <v>1.892</v>
      </c>
      <c r="E19" s="9">
        <v>2.029</v>
      </c>
      <c r="F19" s="9">
        <v>0.137</v>
      </c>
    </row>
    <row r="20">
      <c r="A20" s="0" t="inlineStr">
        <is>
          <t xml:space="preserve">Share of finishers who submit a forecast</t>
        </is>
      </c>
      <c r="B20" s="9">
        <v>0.1</v>
      </c>
      <c r="C20" s="9">
        <v>0.35</v>
      </c>
      <c r="D20" s="9">
        <v>1.961</v>
      </c>
      <c r="E20" s="9">
        <v>1.96</v>
      </c>
      <c r="F20" s="9">
        <v>0.0</v>
      </c>
    </row>
    <row r="22">
      <c r="A22" s="13" t="inlineStr">
        <is>
          <t xml:space="preserve">These columns are static values, not formulas: each one requires re-running the whole model with a single input changed, which a spreadsheet cannot express in one cell. To check any row by hand, change that input on the Inputs sheet and read the Results sheet.</t>
        </is>
      </c>
    </row>
  </sheetData>
</worksheet>
</file>